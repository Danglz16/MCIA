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ath\Documents\Maestria\Semestre_1\Machine Learning\Final\"/>
    </mc:Choice>
  </mc:AlternateContent>
  <xr:revisionPtr revIDLastSave="0" documentId="13_ncr:1_{132F99CB-59E8-493B-A9F2-C0C4A8AED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 Freelance" sheetId="1" r:id="rId1"/>
    <sheet name="Cronograma" sheetId="4" r:id="rId2"/>
    <sheet name="Empleado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2" i="1" s="1"/>
  <c r="I6" i="1"/>
  <c r="I3" i="1"/>
  <c r="I4" i="1"/>
  <c r="I5" i="1"/>
  <c r="D4" i="1"/>
  <c r="D5" i="1"/>
  <c r="D6" i="1"/>
  <c r="D7" i="1"/>
  <c r="D8" i="1"/>
  <c r="D9" i="1" s="1"/>
  <c r="D3" i="1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<sst xmlns="http://schemas.openxmlformats.org/spreadsheetml/2006/main" count="56" uniqueCount="43">
  <si>
    <t>Concepto</t>
  </si>
  <si>
    <t>Rol</t>
  </si>
  <si>
    <t>Sueldo mensual (MXN)</t>
  </si>
  <si>
    <t>Tiempo estimado (meses)</t>
  </si>
  <si>
    <t>Líder de proyecto</t>
  </si>
  <si>
    <t>Científico de datos</t>
  </si>
  <si>
    <t>Ingeniero de datos (Jr)</t>
  </si>
  <si>
    <t>Analista de Datos</t>
  </si>
  <si>
    <t>Costo total Diario (MXN)</t>
  </si>
  <si>
    <t>Ingreso Neto</t>
  </si>
  <si>
    <t>Requeridos</t>
  </si>
  <si>
    <t>Dias de Trabajo</t>
  </si>
  <si>
    <t>PO</t>
  </si>
  <si>
    <t>DE</t>
  </si>
  <si>
    <t>DS</t>
  </si>
  <si>
    <t>DA</t>
  </si>
  <si>
    <t>Asignado</t>
  </si>
  <si>
    <t>Revision con Cliente</t>
  </si>
  <si>
    <t>Semana</t>
  </si>
  <si>
    <t>Actividades principales</t>
  </si>
  <si>
    <t>Limpieza y exploración de datos, establecimiento de baseline</t>
  </si>
  <si>
    <t>Entrenamiento y comparación de modelos predictivos (Random Forest vs LSTM)</t>
  </si>
  <si>
    <t>Validación de resultados, construcción de visualizaciones interactivas y análisis</t>
  </si>
  <si>
    <t>Elaboración de reportes preeliminares, revisión con expertos</t>
  </si>
  <si>
    <t>Elaboración de reportes finales</t>
  </si>
  <si>
    <t>Revisión con expertos, propuesta de acciones</t>
  </si>
  <si>
    <t xml:space="preserve">Entrega </t>
  </si>
  <si>
    <t xml:space="preserve">Ingeniero de datos </t>
  </si>
  <si>
    <t>Ingeniero de datos (Senior)</t>
  </si>
  <si>
    <t>ISR</t>
  </si>
  <si>
    <t>Establecer Requerimientos, KPI's</t>
  </si>
  <si>
    <t>Costo</t>
  </si>
  <si>
    <t>Operaciones</t>
  </si>
  <si>
    <t>Basicos (Luz, Agua, etc)</t>
  </si>
  <si>
    <t>Internet</t>
  </si>
  <si>
    <t>Licencias</t>
  </si>
  <si>
    <t>Total</t>
  </si>
  <si>
    <t>Gastos Fijos Mensuales</t>
  </si>
  <si>
    <t>Duracion(Meses)</t>
  </si>
  <si>
    <t>Costo Mensual</t>
  </si>
  <si>
    <t>Costo Total</t>
  </si>
  <si>
    <t>Costo total</t>
  </si>
  <si>
    <t>Gastos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</si>
</sst>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7">
    <xf numFmtId="0" fontId="0" fillId="0" borderId="0" xfId="0"/>
    <xf numFmtId="44" fontId="0" fillId="0" borderId="0" xfId="1" applyFont="1"/>
    <xf numFmtId="44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5" borderId="4" xfId="0" applyFill="1" applyBorder="1"/>
    <xf numFmtId="0" fontId="0" fillId="4" borderId="4" xfId="0" applyFill="1" applyBorder="1"/>
    <xf numFmtId="44" fontId="0" fillId="5" borderId="5" xfId="1" applyFont="1" applyFill="1" applyBorder="1"/>
    <xf numFmtId="44" fontId="0" fillId="4" borderId="5" xfId="1" applyFont="1" applyFill="1" applyBorder="1"/>
    <xf numFmtId="0" fontId="0" fillId="5" borderId="6" xfId="0" applyFill="1" applyBorder="1"/>
    <xf numFmtId="44" fontId="0" fillId="5" borderId="7" xfId="1" applyFont="1" applyFill="1" applyBorder="1"/>
    <xf numFmtId="0" fontId="0" fillId="0" borderId="10" xfId="0" applyBorder="1"/>
    <xf numFmtId="44" fontId="0" fillId="0" borderId="10" xfId="0" applyNumberFormat="1" applyBorder="1"/>
    <xf numFmtId="0" fontId="2" fillId="3" borderId="9" xfId="0" applyFont="1" applyFill="1" applyBorder="1"/>
    <xf numFmtId="0" fontId="0" fillId="5" borderId="11" xfId="0" applyFill="1" applyBorder="1"/>
    <xf numFmtId="0" fontId="0" fillId="4" borderId="11" xfId="0" applyFill="1" applyBorder="1"/>
    <xf numFmtId="0" fontId="0" fillId="5" borderId="10" xfId="0" applyFill="1" applyBorder="1"/>
    <xf numFmtId="0" fontId="2" fillId="2" borderId="0" xfId="2" applyFont="1"/>
    <xf numFmtId="44" fontId="2" fillId="3" borderId="8" xfId="0" applyNumberFormat="1" applyFont="1" applyFill="1" applyBorder="1"/>
    <xf numFmtId="0" fontId="5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3">
    <cellStyle name="Énfasis1" xfId="2" builtinId="29"/>
    <cellStyle name="Moneda" xfId="1" builtinId="4"/>
    <cellStyle name="Normal" xfId="0" builtinId="0"/>
  </cellStyles>
  <dxfs count="21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  <border diagonalUp="0" diagonalDown="0" outline="0">
        <left/>
        <right/>
        <top style="thin">
          <color theme="0"/>
        </top>
        <bottom/>
      </border>
    </dxf>
    <dxf>
      <numFmt numFmtId="34" formatCode="_-&quot;$&quot;* #,##0.00_-;\-&quot;$&quot;* #,##0.00_-;_-&quot;$&quot;* &quot;-&quot;??_-;_-@_-"/>
      <border diagonalUp="0" diagonalDown="0" outline="0">
        <left/>
        <right/>
        <top style="thin">
          <color theme="0"/>
        </top>
        <bottom/>
      </border>
    </dxf>
    <dxf>
      <border diagonalUp="0" diagonalDown="0" outline="0">
        <left/>
        <right/>
        <top style="thin">
          <color theme="0"/>
        </top>
        <bottom/>
      </border>
    </dxf>
    <dxf>
      <border diagonalUp="0" diagonalDown="0" outline="0">
        <left/>
        <right/>
        <top style="thin">
          <color theme="0"/>
        </top>
        <bottom/>
      </border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</dxf>
    <dxf>
      <border outline="0">
        <top style="thin">
          <color theme="0"/>
        </top>
      </border>
    </dxf>
    <dxf>
      <border outline="0">
        <top style="thick">
          <color theme="0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A4A53-C300-4073-88E3-CEF270EAE119}" name="Tabla2" displayName="Tabla2" ref="A2:D9" totalsRowCount="1">
  <autoFilter ref="A2:D8" xr:uid="{A9FA4A53-C300-4073-88E3-CEF270EAE119}">
    <filterColumn colId="0" hiddenButton="1"/>
    <filterColumn colId="1" hiddenButton="1"/>
    <filterColumn colId="2" hiddenButton="1"/>
    <filterColumn colId="3" hiddenButton="1"/>
  </autoFilter>
  <tableColumns count="4">
    <tableColumn id="1" xr3:uid="{21BD623F-C997-49A2-B883-998A261D3827}" name="Concepto" totalsRowLabel="Total" dataDxfId="20"/>
    <tableColumn id="2" xr3:uid="{6D774C64-550D-4732-9DCB-D2BF4C9A211C}" name="Requeridos"/>
    <tableColumn id="3" xr3:uid="{8A62D242-973C-4A36-8D27-12584B073053}" name="Dias de Trabajo"/>
    <tableColumn id="4" xr3:uid="{739C6B4D-8B81-485B-B972-C23757847B35}" name="Costo" totalsRowFunction="custom" dataDxfId="19" totalsRowDxfId="0" dataCellStyle="Moneda">
      <totalsRowFormula>SUM(D3:D8)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81069-3EB5-4956-8E19-F029433E177F}" name="Tabla3" displayName="Tabla3" ref="F2:I6" totalsRowCount="1" headerRowDxfId="18" headerRowBorderDxfId="17" tableBorderDxfId="16" totalsRowBorderDxfId="15">
  <autoFilter ref="F2:I5" xr:uid="{49481069-3EB5-4956-8E19-F029433E177F}"/>
  <tableColumns count="4">
    <tableColumn id="1" xr3:uid="{98ED0B9C-148A-46AD-A6DE-D4010A41FB74}" name="Concepto" totalsRowLabel="Total" totalsRowDxfId="4"/>
    <tableColumn id="3" xr3:uid="{733D8183-7ADD-449C-B652-71BC23761835}" name="Duracion(Meses)" totalsRowDxfId="3"/>
    <tableColumn id="2" xr3:uid="{0D200BC5-969C-4775-B133-F7FCEFC7984A}" name="Costo Mensual" totalsRowDxfId="2"/>
    <tableColumn id="4" xr3:uid="{2E2BB921-9015-400C-8722-23E67F93FA30}" name="Costo Total" totalsRowFunction="custom" dataDxfId="14" totalsRowDxfId="1">
      <calculatedColumnFormula>G3*H3</calculatedColumnFormula>
      <totalsRowFormula>SUM(H3:H5)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5117C8-67C9-4157-90CB-C73B257E77A6}" name="Tabla4" displayName="Tabla4" ref="A1:C10" totalsRowShown="0" headerRowDxfId="13">
  <autoFilter ref="A1:C10" xr:uid="{915117C8-67C9-4157-90CB-C73B257E77A6}"/>
  <tableColumns count="3">
    <tableColumn id="1" xr3:uid="{5B30D525-0AB1-4661-85F4-3AD3E9A4191F}" name="Semana" dataDxfId="12"/>
    <tableColumn id="2" xr3:uid="{3695AF74-C8D8-4C8C-8310-AB181ECA2251}" name="Actividades principales" dataDxfId="11"/>
    <tableColumn id="3" xr3:uid="{31FC91E2-C07F-4132-96CB-734DE445C254}" name="Asignado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28630B-D15C-4647-9A4D-AD3F76DF28F0}" name="Tabla5" displayName="Tabla5" ref="A1:F7" totalsRowShown="0" headerRowDxfId="9" headerRowCellStyle="Moneda">
  <autoFilter ref="A1:F7" xr:uid="{6828630B-D15C-4647-9A4D-AD3F76DF28F0}"/>
  <tableColumns count="6">
    <tableColumn id="1" xr3:uid="{78D2005B-08FA-4622-A539-968F10A1698A}" name="Rol"/>
    <tableColumn id="2" xr3:uid="{AE09BA58-66E8-425E-9D0A-6013A66ADEB6}" name="Sueldo mensual (MXN)" dataDxfId="8" dataCellStyle="Moneda"/>
    <tableColumn id="3" xr3:uid="{372038A6-9F8B-4B4F-BF4C-09E6613968E5}" name="Tiempo estimado (meses)"/>
    <tableColumn id="4" xr3:uid="{AC431D8D-3345-4E26-8842-105A67DC6D1D}" name="Costo total Diario (MXN)" dataDxfId="7" dataCellStyle="Moneda">
      <calculatedColumnFormula>B2/30</calculatedColumnFormula>
    </tableColumn>
    <tableColumn id="5" xr3:uid="{FF222875-730C-458F-BEAB-C13BCD7AFCE6}" name="ISR" dataDxfId="6">
      <calculatedColumnFormula>B2*0.16</calculatedColumnFormula>
    </tableColumn>
    <tableColumn id="6" xr3:uid="{B49C7979-542A-498E-97DE-87C5F7422F30}" name="Ingreso Neto" dataDxfId="5">
      <calculatedColumnFormula>B2-E2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33.109375" customWidth="1"/>
    <col min="2" max="2" width="12" customWidth="1"/>
    <col min="3" max="3" width="15.44140625" customWidth="1"/>
    <col min="4" max="4" width="12.44140625" bestFit="1" customWidth="1"/>
    <col min="6" max="7" width="19.33203125" customWidth="1"/>
    <col min="8" max="8" width="15.109375" customWidth="1"/>
    <col min="9" max="9" width="11.6640625" customWidth="1"/>
  </cols>
  <sheetData>
    <row r="1" spans="1:9" ht="15" thickBot="1" x14ac:dyDescent="0.35">
      <c r="A1" s="24" t="s">
        <v>32</v>
      </c>
      <c r="B1" s="24"/>
      <c r="C1" s="24"/>
      <c r="D1" s="25"/>
      <c r="F1" s="26" t="s">
        <v>37</v>
      </c>
      <c r="G1" s="26"/>
      <c r="H1" s="26"/>
      <c r="I1" s="26"/>
    </row>
    <row r="2" spans="1:9" ht="15.6" thickTop="1" thickBot="1" x14ac:dyDescent="0.35">
      <c r="A2" t="s">
        <v>0</v>
      </c>
      <c r="B2" t="s">
        <v>10</v>
      </c>
      <c r="C2" t="s">
        <v>11</v>
      </c>
      <c r="D2" t="s">
        <v>31</v>
      </c>
      <c r="F2" s="6" t="s">
        <v>0</v>
      </c>
      <c r="G2" s="17" t="s">
        <v>38</v>
      </c>
      <c r="H2" s="8" t="s">
        <v>39</v>
      </c>
      <c r="I2" s="7" t="s">
        <v>40</v>
      </c>
    </row>
    <row r="3" spans="1:9" ht="15" thickTop="1" x14ac:dyDescent="0.3">
      <c r="A3" t="s">
        <v>4</v>
      </c>
      <c r="B3">
        <v>1</v>
      </c>
      <c r="C3">
        <v>30</v>
      </c>
      <c r="D3" s="2">
        <f>Empleados!D2*C3</f>
        <v>45000</v>
      </c>
      <c r="F3" s="9" t="s">
        <v>33</v>
      </c>
      <c r="G3" s="18">
        <v>1</v>
      </c>
      <c r="H3" s="11">
        <v>500</v>
      </c>
      <c r="I3" s="2">
        <f t="shared" ref="I3:I5" si="0">G3*H3</f>
        <v>500</v>
      </c>
    </row>
    <row r="4" spans="1:9" x14ac:dyDescent="0.3">
      <c r="A4" t="s">
        <v>5</v>
      </c>
      <c r="B4">
        <v>1</v>
      </c>
      <c r="C4">
        <v>30</v>
      </c>
      <c r="D4" s="2">
        <f>Empleados!D3*C4</f>
        <v>50000</v>
      </c>
      <c r="F4" s="10" t="s">
        <v>34</v>
      </c>
      <c r="G4" s="19">
        <v>1</v>
      </c>
      <c r="H4" s="12">
        <v>500</v>
      </c>
      <c r="I4" s="2">
        <f t="shared" si="0"/>
        <v>500</v>
      </c>
    </row>
    <row r="5" spans="1:9" x14ac:dyDescent="0.3">
      <c r="A5" t="s">
        <v>6</v>
      </c>
      <c r="B5">
        <v>1</v>
      </c>
      <c r="C5">
        <v>30</v>
      </c>
      <c r="D5" s="2">
        <f>Empleados!D4*C5</f>
        <v>30000</v>
      </c>
      <c r="F5" s="13" t="s">
        <v>35</v>
      </c>
      <c r="G5" s="20">
        <v>1</v>
      </c>
      <c r="H5" s="14">
        <v>500</v>
      </c>
      <c r="I5" s="2">
        <f t="shared" si="0"/>
        <v>500</v>
      </c>
    </row>
    <row r="6" spans="1:9" x14ac:dyDescent="0.3">
      <c r="A6" t="s">
        <v>27</v>
      </c>
      <c r="B6">
        <v>0</v>
      </c>
      <c r="C6">
        <v>0</v>
      </c>
      <c r="D6" s="2">
        <f>Empleados!D5*C6</f>
        <v>0</v>
      </c>
      <c r="F6" s="15" t="s">
        <v>36</v>
      </c>
      <c r="G6" s="15"/>
      <c r="H6" s="16"/>
      <c r="I6" s="16">
        <f>SUM(H3:H5)</f>
        <v>1500</v>
      </c>
    </row>
    <row r="7" spans="1:9" x14ac:dyDescent="0.3">
      <c r="A7" t="s">
        <v>28</v>
      </c>
      <c r="B7">
        <v>0</v>
      </c>
      <c r="C7">
        <v>0</v>
      </c>
      <c r="D7" s="2">
        <f>Empleados!D6*C7</f>
        <v>0</v>
      </c>
    </row>
    <row r="8" spans="1:9" x14ac:dyDescent="0.3">
      <c r="A8" t="s">
        <v>7</v>
      </c>
      <c r="B8">
        <v>1</v>
      </c>
      <c r="C8">
        <v>20</v>
      </c>
      <c r="D8" s="2">
        <f>Empleados!D7*C8</f>
        <v>20000</v>
      </c>
    </row>
    <row r="9" spans="1:9" x14ac:dyDescent="0.3">
      <c r="A9" t="s">
        <v>36</v>
      </c>
      <c r="D9" s="2">
        <f>SUM(D3:D8)</f>
        <v>145000</v>
      </c>
    </row>
    <row r="10" spans="1:9" ht="15" thickBot="1" x14ac:dyDescent="0.35"/>
    <row r="11" spans="1:9" ht="15.6" thickTop="1" thickBot="1" x14ac:dyDescent="0.35">
      <c r="C11" s="21" t="s">
        <v>42</v>
      </c>
      <c r="D11" s="22">
        <f>D9*0.25</f>
        <v>36250</v>
      </c>
    </row>
    <row r="12" spans="1:9" ht="15" thickTop="1" x14ac:dyDescent="0.3">
      <c r="C12" s="21" t="s">
        <v>41</v>
      </c>
      <c r="D12" s="22">
        <f>SUM(D9+I6+D11)</f>
        <v>182750</v>
      </c>
    </row>
    <row r="16" spans="1:9" x14ac:dyDescent="0.3">
      <c r="D16" s="23"/>
    </row>
  </sheetData>
  <mergeCells count="2">
    <mergeCell ref="A1:D1"/>
    <mergeCell ref="F1:I1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4AF8-6597-4E04-87BA-19A3C7C80A0E}">
  <dimension ref="A1:D10"/>
  <sheetViews>
    <sheetView workbookViewId="0">
      <selection activeCell="F4" sqref="F4"/>
    </sheetView>
  </sheetViews>
  <sheetFormatPr baseColWidth="10" defaultRowHeight="14.4" x14ac:dyDescent="0.3"/>
  <cols>
    <col min="1" max="1" width="9.6640625" customWidth="1"/>
    <col min="2" max="2" width="37.44140625" bestFit="1" customWidth="1"/>
    <col min="3" max="4" width="23.33203125" style="3" customWidth="1"/>
    <col min="5" max="5" width="14.88671875" customWidth="1"/>
  </cols>
  <sheetData>
    <row r="1" spans="1:3" x14ac:dyDescent="0.3">
      <c r="A1" s="4" t="s">
        <v>18</v>
      </c>
      <c r="B1" s="4" t="s">
        <v>19</v>
      </c>
      <c r="C1" s="4" t="s">
        <v>16</v>
      </c>
    </row>
    <row r="2" spans="1:3" x14ac:dyDescent="0.3">
      <c r="A2" s="5">
        <v>1</v>
      </c>
      <c r="B2" s="5" t="s">
        <v>30</v>
      </c>
      <c r="C2" s="5" t="s">
        <v>12</v>
      </c>
    </row>
    <row r="3" spans="1:3" ht="28.8" x14ac:dyDescent="0.3">
      <c r="A3" s="5">
        <v>1</v>
      </c>
      <c r="B3" s="5" t="s">
        <v>20</v>
      </c>
      <c r="C3" s="3" t="s">
        <v>13</v>
      </c>
    </row>
    <row r="4" spans="1:3" ht="28.8" x14ac:dyDescent="0.3">
      <c r="A4" s="5">
        <v>2</v>
      </c>
      <c r="B4" s="5" t="s">
        <v>21</v>
      </c>
      <c r="C4" s="3" t="s">
        <v>14</v>
      </c>
    </row>
    <row r="5" spans="1:3" ht="28.8" x14ac:dyDescent="0.3">
      <c r="A5" s="5">
        <v>2</v>
      </c>
      <c r="B5" s="5" t="s">
        <v>22</v>
      </c>
      <c r="C5" s="3" t="s">
        <v>15</v>
      </c>
    </row>
    <row r="6" spans="1:3" ht="28.8" x14ac:dyDescent="0.3">
      <c r="A6" s="5">
        <v>3</v>
      </c>
      <c r="B6" s="5" t="s">
        <v>23</v>
      </c>
      <c r="C6" s="3" t="s">
        <v>15</v>
      </c>
    </row>
    <row r="7" spans="1:3" x14ac:dyDescent="0.3">
      <c r="A7" s="5">
        <v>3</v>
      </c>
      <c r="B7" s="5" t="s">
        <v>17</v>
      </c>
      <c r="C7" s="3" t="s">
        <v>12</v>
      </c>
    </row>
    <row r="8" spans="1:3" x14ac:dyDescent="0.3">
      <c r="A8" s="5">
        <v>4</v>
      </c>
      <c r="B8" t="s">
        <v>24</v>
      </c>
      <c r="C8" s="3" t="s">
        <v>15</v>
      </c>
    </row>
    <row r="9" spans="1:3" ht="28.8" x14ac:dyDescent="0.3">
      <c r="A9" s="5">
        <v>4</v>
      </c>
      <c r="B9" s="5" t="s">
        <v>25</v>
      </c>
      <c r="C9" s="3" t="s">
        <v>14</v>
      </c>
    </row>
    <row r="10" spans="1:3" x14ac:dyDescent="0.3">
      <c r="A10" s="5">
        <v>4</v>
      </c>
      <c r="B10" s="5" t="s">
        <v>26</v>
      </c>
      <c r="C10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B0D0-28AB-4621-BF5A-907DA578C790}">
  <dimension ref="A1:F7"/>
  <sheetViews>
    <sheetView workbookViewId="0">
      <selection activeCell="D14" sqref="D14"/>
    </sheetView>
  </sheetViews>
  <sheetFormatPr baseColWidth="10" defaultRowHeight="14.4" x14ac:dyDescent="0.3"/>
  <cols>
    <col min="1" max="1" width="20.33203125" customWidth="1"/>
    <col min="2" max="2" width="22.44140625" style="1" customWidth="1"/>
    <col min="3" max="3" width="23.6640625" customWidth="1"/>
    <col min="4" max="4" width="24.21875" style="1" customWidth="1"/>
    <col min="6" max="6" width="14.77734375" customWidth="1"/>
  </cols>
  <sheetData>
    <row r="1" spans="1:6" x14ac:dyDescent="0.3">
      <c r="A1" t="s">
        <v>1</v>
      </c>
      <c r="B1" s="1" t="s">
        <v>2</v>
      </c>
      <c r="C1" t="s">
        <v>3</v>
      </c>
      <c r="D1" s="1" t="s">
        <v>8</v>
      </c>
      <c r="E1" t="s">
        <v>29</v>
      </c>
      <c r="F1" s="1" t="s">
        <v>9</v>
      </c>
    </row>
    <row r="2" spans="1:6" x14ac:dyDescent="0.3">
      <c r="A2" t="s">
        <v>4</v>
      </c>
      <c r="B2" s="1">
        <v>45000</v>
      </c>
      <c r="C2">
        <v>1</v>
      </c>
      <c r="D2" s="1">
        <f>B2/30</f>
        <v>1500</v>
      </c>
      <c r="E2" s="2">
        <f>B2*0.16</f>
        <v>7200</v>
      </c>
      <c r="F2" s="2">
        <f>B2-E2</f>
        <v>37800</v>
      </c>
    </row>
    <row r="3" spans="1:6" x14ac:dyDescent="0.3">
      <c r="A3" t="s">
        <v>5</v>
      </c>
      <c r="B3" s="1">
        <v>50000</v>
      </c>
      <c r="C3">
        <v>1</v>
      </c>
      <c r="D3" s="1">
        <f t="shared" ref="D3:D7" si="0">B3/30</f>
        <v>1666.6666666666667</v>
      </c>
      <c r="E3" s="2">
        <f t="shared" ref="E3:E7" si="1">B3*0.16</f>
        <v>8000</v>
      </c>
      <c r="F3" s="2">
        <f t="shared" ref="F3:F7" si="2">B3-E3</f>
        <v>42000</v>
      </c>
    </row>
    <row r="4" spans="1:6" x14ac:dyDescent="0.3">
      <c r="A4" t="s">
        <v>6</v>
      </c>
      <c r="B4" s="1">
        <v>30000</v>
      </c>
      <c r="C4">
        <v>1</v>
      </c>
      <c r="D4" s="1">
        <f t="shared" si="0"/>
        <v>1000</v>
      </c>
      <c r="E4" s="2">
        <f t="shared" si="1"/>
        <v>4800</v>
      </c>
      <c r="F4" s="2">
        <f t="shared" si="2"/>
        <v>25200</v>
      </c>
    </row>
    <row r="5" spans="1:6" x14ac:dyDescent="0.3">
      <c r="A5" t="s">
        <v>27</v>
      </c>
      <c r="B5" s="1">
        <v>50000</v>
      </c>
      <c r="C5">
        <v>0</v>
      </c>
      <c r="D5" s="1">
        <f t="shared" si="0"/>
        <v>1666.6666666666667</v>
      </c>
      <c r="E5" s="2">
        <f t="shared" si="1"/>
        <v>8000</v>
      </c>
      <c r="F5" s="2">
        <f t="shared" si="2"/>
        <v>42000</v>
      </c>
    </row>
    <row r="6" spans="1:6" x14ac:dyDescent="0.3">
      <c r="A6" t="s">
        <v>28</v>
      </c>
      <c r="B6" s="1">
        <v>70000</v>
      </c>
      <c r="C6">
        <v>0</v>
      </c>
      <c r="D6" s="1">
        <f t="shared" si="0"/>
        <v>2333.3333333333335</v>
      </c>
      <c r="E6" s="2">
        <f t="shared" si="1"/>
        <v>11200</v>
      </c>
      <c r="F6" s="2">
        <f t="shared" si="2"/>
        <v>58800</v>
      </c>
    </row>
    <row r="7" spans="1:6" x14ac:dyDescent="0.3">
      <c r="A7" t="s">
        <v>7</v>
      </c>
      <c r="B7" s="1">
        <v>30000</v>
      </c>
      <c r="C7">
        <v>1</v>
      </c>
      <c r="D7" s="1">
        <f t="shared" si="0"/>
        <v>1000</v>
      </c>
      <c r="E7" s="2">
        <f t="shared" si="1"/>
        <v>4800</v>
      </c>
      <c r="F7" s="2">
        <f t="shared" si="2"/>
        <v>25200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Calculadora Freelance</vt:lpstr>
      <vt:lpstr>Cronograma</vt:lpstr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Gonzalez</cp:lastModifiedBy>
  <dcterms:created xsi:type="dcterms:W3CDTF">2025-06-06T21:52:34Z</dcterms:created>
  <dcterms:modified xsi:type="dcterms:W3CDTF">2025-06-06T23:43:53Z</dcterms:modified>
</cp:coreProperties>
</file>